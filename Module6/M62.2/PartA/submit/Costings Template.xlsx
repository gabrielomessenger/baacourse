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ahoma"/>
      <family val="2"/>
      <color theme="1"/>
      <sz val="11"/>
    </font>
    <font>
      <name val="Tahoma"/>
      <family val="2"/>
      <color theme="1"/>
      <sz val="14"/>
    </font>
    <font>
      <name val="Tahoma"/>
      <family val="2"/>
      <color rgb="FF1A9A38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</borders>
  <cellStyleXfs count="2">
    <xf numFmtId="0" fontId="1" fillId="0" borderId="0"/>
    <xf numFmtId="44" fontId="1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164" fontId="4" fillId="0" borderId="1" applyAlignment="1" pivotButton="0" quotePrefix="0" xfId="1">
      <alignment wrapText="1"/>
    </xf>
    <xf numFmtId="164" fontId="4" fillId="0" borderId="1" applyAlignment="1" pivotButton="0" quotePrefix="0" xfId="1">
      <alignment wrapText="1"/>
    </xf>
    <xf numFmtId="0" fontId="5" fillId="0" borderId="0" applyAlignment="1" pivotButton="0" quotePrefix="0" xfId="0">
      <alignment wrapText="1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tabSelected="1" view="pageLayout" zoomScaleNormal="100" workbookViewId="0">
      <selection activeCell="A5" sqref="A5"/>
    </sheetView>
  </sheetViews>
  <sheetFormatPr baseColWidth="8" defaultColWidth="8.44140625" defaultRowHeight="13.8"/>
  <cols>
    <col width="21.77734375" customWidth="1" style="1" min="1" max="1"/>
    <col width="28.33203125" customWidth="1" style="1" min="2" max="3"/>
    <col width="11.77734375" customWidth="1" style="1" min="4" max="6"/>
    <col width="9.109375" customWidth="1" style="1" min="7" max="7"/>
    <col width="11.77734375" customWidth="1" style="1" min="8" max="14"/>
    <col width="8.44140625" customWidth="1" style="1" min="15" max="16384"/>
  </cols>
  <sheetData>
    <row r="1" ht="17.4" customHeight="1">
      <c r="A1" s="2" t="inlineStr">
        <is>
          <t>Detailed costings for rectification works</t>
        </is>
      </c>
    </row>
    <row r="2" ht="14.4" customHeight="1" thickBot="1"/>
    <row r="3" ht="28.2" customHeight="1" thickBot="1">
      <c r="A3" s="6" t="inlineStr">
        <is>
          <t>Location</t>
        </is>
      </c>
      <c r="B3" s="6" t="inlineStr">
        <is>
          <t>Description</t>
        </is>
      </c>
      <c r="C3" s="6" t="inlineStr">
        <is>
          <t>Work/cost breakdown</t>
        </is>
      </c>
      <c r="D3" s="6" t="inlineStr">
        <is>
          <t>Trades</t>
        </is>
      </c>
      <c r="E3" s="6" t="inlineStr">
        <is>
          <t>Number of personnel</t>
        </is>
      </c>
      <c r="F3" s="6" t="inlineStr">
        <is>
          <t>Total hours</t>
        </is>
      </c>
      <c r="G3" s="6" t="inlineStr">
        <is>
          <t>Rate 
p/h ($)</t>
        </is>
      </c>
      <c r="H3" s="6" t="inlineStr">
        <is>
          <t>Total labour</t>
        </is>
      </c>
      <c r="I3" s="6" t="inlineStr">
        <is>
          <t>Materials</t>
        </is>
      </c>
      <c r="J3" s="6" t="inlineStr">
        <is>
          <t>Equipment</t>
        </is>
      </c>
      <c r="K3" s="6" t="inlineStr">
        <is>
          <t>Builders margin</t>
        </is>
      </c>
      <c r="L3" s="6" t="inlineStr">
        <is>
          <t>Amount</t>
        </is>
      </c>
      <c r="M3" s="6" t="inlineStr">
        <is>
          <t>GST</t>
        </is>
      </c>
      <c r="N3" s="6" t="inlineStr">
        <is>
          <t>Total</t>
        </is>
      </c>
    </row>
    <row r="4" ht="36.45" customHeight="1" thickBot="1">
      <c r="A4" s="5" t="inlineStr">
        <is>
          <t>Front boundary</t>
        </is>
      </c>
      <c r="B4" s="5" t="inlineStr">
        <is>
          <t>Front retaining wall leaning/cracked</t>
        </is>
      </c>
      <c r="C4" s="5" t="inlineStr">
        <is>
          <t>Demolish existing wall and rebuild engineered retaining wall with drainage</t>
        </is>
      </c>
      <c r="D4" s="5" t="inlineStr">
        <is>
          <t>Bricklayer/Landscaper</t>
        </is>
      </c>
      <c r="E4" s="5" t="n">
        <v>4</v>
      </c>
      <c r="F4" s="5" t="n">
        <v>120</v>
      </c>
      <c r="G4" s="8" t="n">
        <v>95</v>
      </c>
      <c r="H4" s="8">
        <f>F4*G4</f>
        <v/>
      </c>
      <c r="I4" s="8" t="n">
        <v>24000</v>
      </c>
      <c r="J4" s="8" t="n">
        <v>8500</v>
      </c>
      <c r="K4" s="8" t="n">
        <v>9000</v>
      </c>
      <c r="L4" s="8">
        <f>H4+I4+J4+K4</f>
        <v/>
      </c>
      <c r="M4" s="8">
        <f>L4*10%</f>
        <v/>
      </c>
      <c r="N4" s="8">
        <f>L4+M4</f>
        <v/>
      </c>
    </row>
    <row r="5" ht="36.45" customHeight="1" thickBot="1">
      <c r="A5" s="5" t="inlineStr">
        <is>
          <t>Rear yard</t>
        </is>
      </c>
      <c r="B5" s="5" t="inlineStr">
        <is>
          <t>Rear retaining wall previously failed and now leaning/cracked</t>
        </is>
      </c>
      <c r="C5" s="5" t="inlineStr">
        <is>
          <t>Demolish failed section and reconstruct retaining wall with reinforced footing and drainage</t>
        </is>
      </c>
      <c r="D5" s="5" t="inlineStr">
        <is>
          <t>Bricklayer/Landscaper</t>
        </is>
      </c>
      <c r="E5" s="5" t="n">
        <v>4</v>
      </c>
      <c r="F5" s="5" t="n">
        <v>140</v>
      </c>
      <c r="G5" s="8" t="n">
        <v>95</v>
      </c>
      <c r="H5" s="8">
        <f>F5*G5</f>
        <v/>
      </c>
      <c r="I5" s="8" t="n">
        <v>28000</v>
      </c>
      <c r="J5" s="8" t="n">
        <v>9000</v>
      </c>
      <c r="K5" s="8" t="n">
        <v>10500</v>
      </c>
      <c r="L5" s="8">
        <f>H5+I5+J5+K5</f>
        <v/>
      </c>
      <c r="M5" s="8">
        <f>L5*10%</f>
        <v/>
      </c>
      <c r="N5" s="8">
        <f>L5+M5</f>
        <v/>
      </c>
    </row>
    <row r="6" ht="36.45" customHeight="1" thickBot="1">
      <c r="A6" s="5" t="inlineStr">
        <is>
          <t>Front porch</t>
        </is>
      </c>
      <c r="B6" s="5" t="inlineStr">
        <is>
          <t>Cracked and deteriorated concrete overhead porch slab</t>
        </is>
      </c>
      <c r="C6" s="5" t="inlineStr">
        <is>
          <t>Install temporary propping, demolish defective concrete, reconstruct slab and render finish</t>
        </is>
      </c>
      <c r="D6" s="5" t="inlineStr">
        <is>
          <t>Concrete contractor</t>
        </is>
      </c>
      <c r="E6" s="5" t="n">
        <v>3</v>
      </c>
      <c r="F6" s="5" t="n">
        <v>96</v>
      </c>
      <c r="G6" s="5" t="n">
        <v>110</v>
      </c>
      <c r="H6" s="5">
        <f>F6*G6</f>
        <v/>
      </c>
      <c r="I6" s="5" t="n">
        <v>22000</v>
      </c>
      <c r="J6" s="5" t="n">
        <v>7500</v>
      </c>
      <c r="K6" s="5" t="n">
        <v>7800</v>
      </c>
      <c r="L6" s="5">
        <f>H6+I6+J6+K6</f>
        <v/>
      </c>
      <c r="M6" s="5">
        <f>L6*10%</f>
        <v/>
      </c>
      <c r="N6" s="5">
        <f>L6+M6</f>
        <v/>
      </c>
    </row>
    <row r="7" ht="36.45" customHeight="1" thickBot="1">
      <c r="A7" s="5" t="inlineStr">
        <is>
          <t>Loft access</t>
        </is>
      </c>
      <c r="B7" s="5" t="inlineStr">
        <is>
          <t>Unsafe warped/corroded loft stairs</t>
        </is>
      </c>
      <c r="C7" s="5" t="inlineStr">
        <is>
          <t>Remove unsafe stairs and install compliant stair system with safe balustrade/handrail</t>
        </is>
      </c>
      <c r="D7" s="5" t="inlineStr">
        <is>
          <t>Carpenter/Metal fabricator</t>
        </is>
      </c>
      <c r="E7" s="5" t="n">
        <v>2</v>
      </c>
      <c r="F7" s="5" t="n">
        <v>40</v>
      </c>
      <c r="G7" s="5" t="n">
        <v>95</v>
      </c>
      <c r="H7" s="5">
        <f>F7*G7</f>
        <v/>
      </c>
      <c r="I7" s="5" t="n">
        <v>4200</v>
      </c>
      <c r="J7" s="5" t="n">
        <v>1200</v>
      </c>
      <c r="K7" s="5" t="n">
        <v>1600</v>
      </c>
      <c r="L7" s="5">
        <f>H7+I7+J7+K7</f>
        <v/>
      </c>
      <c r="M7" s="5">
        <f>L7*10%</f>
        <v/>
      </c>
      <c r="N7" s="5">
        <f>L7+M7</f>
        <v/>
      </c>
    </row>
    <row r="8" ht="36.45" customHeight="1" thickBot="1">
      <c r="A8" s="5" t="inlineStr">
        <is>
          <t>Carport</t>
        </is>
      </c>
      <c r="B8" s="5" t="inlineStr">
        <is>
          <t>Corroded steel roof sheeting with holes</t>
        </is>
      </c>
      <c r="C8" s="5" t="inlineStr">
        <is>
          <t>Replace corroded roof sheets, battens and fixings; provide compliant edge protection</t>
        </is>
      </c>
      <c r="D8" s="5" t="inlineStr">
        <is>
          <t>Roofer</t>
        </is>
      </c>
      <c r="E8" s="5" t="n">
        <v>3</v>
      </c>
      <c r="F8" s="5" t="n">
        <v>72</v>
      </c>
      <c r="G8" s="5" t="n">
        <v>95</v>
      </c>
      <c r="H8" s="5">
        <f>F8*G8</f>
        <v/>
      </c>
      <c r="I8" s="5" t="n">
        <v>14500</v>
      </c>
      <c r="J8" s="5" t="n">
        <v>3800</v>
      </c>
      <c r="K8" s="5" t="n">
        <v>4200</v>
      </c>
      <c r="L8" s="5">
        <f>H8+I8+J8+K8</f>
        <v/>
      </c>
      <c r="M8" s="5">
        <f>L8*10%</f>
        <v/>
      </c>
      <c r="N8" s="5">
        <f>L8+M8</f>
        <v/>
      </c>
    </row>
    <row r="9" ht="36.45" customHeight="1" thickBot="1">
      <c r="A9" s="5" t="inlineStr">
        <is>
          <t>Loft roof</t>
        </is>
      </c>
      <c r="B9" s="5" t="inlineStr">
        <is>
          <t>Asbestos sheeting identified</t>
        </is>
      </c>
      <c r="C9" s="5" t="inlineStr">
        <is>
          <t>Licensed asbestos assessment, removal, disposal and clearance certificate</t>
        </is>
      </c>
      <c r="D9" s="5" t="inlineStr">
        <is>
          <t>Licensed asbestos contractor</t>
        </is>
      </c>
      <c r="E9" s="5" t="n">
        <v>2</v>
      </c>
      <c r="F9" s="5" t="n">
        <v>36</v>
      </c>
      <c r="G9" s="5" t="n">
        <v>120</v>
      </c>
      <c r="H9" s="5">
        <f>F9*G9</f>
        <v/>
      </c>
      <c r="I9" s="5" t="n">
        <v>9000</v>
      </c>
      <c r="J9" s="5" t="n">
        <v>4500</v>
      </c>
      <c r="K9" s="5" t="n">
        <v>2200</v>
      </c>
      <c r="L9" s="5">
        <f>H9+I9+J9+K9</f>
        <v/>
      </c>
      <c r="M9" s="5">
        <f>L9*10%</f>
        <v/>
      </c>
      <c r="N9" s="5">
        <f>L9+M9</f>
        <v/>
      </c>
    </row>
    <row r="10" ht="36.45" customHeight="1" thickBot="1">
      <c r="A10" s="5" t="inlineStr">
        <is>
          <t>Roof/chimney</t>
        </is>
      </c>
      <c r="B10" s="5" t="inlineStr">
        <is>
          <t>Rusted flashing and damaged roof/chimney tiles</t>
        </is>
      </c>
      <c r="C10" s="5" t="inlineStr">
        <is>
          <t>Replace flashing, repoint chimney and replace damaged tiles</t>
        </is>
      </c>
      <c r="D10" s="5" t="inlineStr">
        <is>
          <t>Roofer</t>
        </is>
      </c>
      <c r="E10" s="5" t="n">
        <v>2</v>
      </c>
      <c r="F10" s="5" t="n">
        <v>48</v>
      </c>
      <c r="G10" s="5" t="n">
        <v>105</v>
      </c>
      <c r="H10" s="5">
        <f>F10*G10</f>
        <v/>
      </c>
      <c r="I10" s="5" t="n">
        <v>7800</v>
      </c>
      <c r="J10" s="5" t="n">
        <v>1500</v>
      </c>
      <c r="K10" s="5" t="n">
        <v>1800</v>
      </c>
      <c r="L10" s="5">
        <f>H10+I10+J10+K10</f>
        <v/>
      </c>
      <c r="M10" s="5">
        <f>L10*10%</f>
        <v/>
      </c>
      <c r="N10" s="5">
        <f>L10+M10</f>
        <v/>
      </c>
    </row>
    <row r="11" ht="36.45" customHeight="1" thickBot="1">
      <c r="A11" s="5" t="inlineStr">
        <is>
          <t>Stormwater</t>
        </is>
      </c>
      <c r="B11" s="5" t="inlineStr">
        <is>
          <t>Downpipe not connected / DIY diversion</t>
        </is>
      </c>
      <c r="C11" s="5" t="inlineStr">
        <is>
          <t>Reconfigure stormwater/downpipes and connect to legal point of discharge</t>
        </is>
      </c>
      <c r="D11" s="5" t="inlineStr">
        <is>
          <t>Plumber</t>
        </is>
      </c>
      <c r="E11" s="5" t="n">
        <v>2</v>
      </c>
      <c r="F11" s="5" t="n">
        <v>32</v>
      </c>
      <c r="G11" s="5" t="n">
        <v>100</v>
      </c>
      <c r="H11" s="5">
        <f>F11*G11</f>
        <v/>
      </c>
      <c r="I11" s="5" t="n">
        <v>4200</v>
      </c>
      <c r="J11" s="5" t="n">
        <v>1400</v>
      </c>
      <c r="K11" s="5" t="n">
        <v>1300</v>
      </c>
      <c r="L11" s="5">
        <f>H11+I11+J11+K11</f>
        <v/>
      </c>
      <c r="M11" s="5">
        <f>L11*10%</f>
        <v/>
      </c>
      <c r="N11" s="5">
        <f>L11+M11</f>
        <v/>
      </c>
    </row>
    <row r="12" ht="36.45" customHeight="1" thickBot="1">
      <c r="A12" s="5" t="inlineStr">
        <is>
          <t>Entry/backdoor</t>
        </is>
      </c>
      <c r="B12" s="5" t="inlineStr">
        <is>
          <t>Door gaps, failed seals and rot to frame</t>
        </is>
      </c>
      <c r="C12" s="5" t="inlineStr">
        <is>
          <t>Replace damaged frame/timber and install weather seals</t>
        </is>
      </c>
      <c r="D12" s="5" t="inlineStr">
        <is>
          <t>Carpenter</t>
        </is>
      </c>
      <c r="E12" s="5" t="n">
        <v>2</v>
      </c>
      <c r="F12" s="5" t="n">
        <v>44</v>
      </c>
      <c r="G12" s="5" t="n">
        <v>90</v>
      </c>
      <c r="H12" s="5">
        <f>F12*G12</f>
        <v/>
      </c>
      <c r="I12" s="5" t="n">
        <v>5200</v>
      </c>
      <c r="J12" s="5" t="n">
        <v>600</v>
      </c>
      <c r="K12" s="5" t="n">
        <v>1500</v>
      </c>
      <c r="L12" s="5">
        <f>H12+I12+J12+K12</f>
        <v/>
      </c>
      <c r="M12" s="5">
        <f>L12*10%</f>
        <v/>
      </c>
      <c r="N12" s="5">
        <f>L12+M12</f>
        <v/>
      </c>
    </row>
    <row r="13" ht="36.45" customHeight="1" thickBot="1">
      <c r="A13" s="5" t="inlineStr">
        <is>
          <t>External windows</t>
        </is>
      </c>
      <c r="B13" s="5" t="inlineStr">
        <is>
          <t>Rotten timber frames and unsealed gaps</t>
        </is>
      </c>
      <c r="C13" s="5" t="inlineStr">
        <is>
          <t>Replace/repair rotten window frames and reseal openings</t>
        </is>
      </c>
      <c r="D13" s="5" t="inlineStr">
        <is>
          <t>Carpenter/Glazier</t>
        </is>
      </c>
      <c r="E13" s="5" t="n">
        <v>2</v>
      </c>
      <c r="F13" s="5" t="n">
        <v>80</v>
      </c>
      <c r="G13" s="5" t="n">
        <v>95</v>
      </c>
      <c r="H13" s="5">
        <f>F13*G13</f>
        <v/>
      </c>
      <c r="I13" s="5" t="n">
        <v>16000</v>
      </c>
      <c r="J13" s="5" t="n">
        <v>1200</v>
      </c>
      <c r="K13" s="5" t="n">
        <v>3400</v>
      </c>
      <c r="L13" s="5">
        <f>H13+I13+J13+K13</f>
        <v/>
      </c>
      <c r="M13" s="5">
        <f>L13*10%</f>
        <v/>
      </c>
      <c r="N13" s="5">
        <f>L13+M13</f>
        <v/>
      </c>
    </row>
    <row r="14" ht="36.45" customHeight="1" thickBot="1">
      <c r="A14" s="5" t="inlineStr">
        <is>
          <t>Bathroom</t>
        </is>
      </c>
      <c r="B14" s="5" t="inlineStr">
        <is>
          <t>Failed tiles, cracked shower base, waterproofing failure</t>
        </is>
      </c>
      <c r="C14" s="5" t="inlineStr">
        <is>
          <t>Full bathroom strip-out and renovation including membrane, tiles, shower base and reseal</t>
        </is>
      </c>
      <c r="D14" s="5" t="inlineStr">
        <is>
          <t>Bathroom renovator</t>
        </is>
      </c>
      <c r="E14" s="5" t="n">
        <v>3</v>
      </c>
      <c r="F14" s="5" t="n">
        <v>140</v>
      </c>
      <c r="G14" s="5" t="n">
        <v>105</v>
      </c>
      <c r="H14" s="5">
        <f>F14*G14</f>
        <v/>
      </c>
      <c r="I14" s="5" t="n">
        <v>26000</v>
      </c>
      <c r="J14" s="5" t="n">
        <v>3500</v>
      </c>
      <c r="K14" s="5" t="n">
        <v>6500</v>
      </c>
      <c r="L14" s="5">
        <f>H14+I14+J14+K14</f>
        <v/>
      </c>
      <c r="M14" s="5">
        <f>L14*10%</f>
        <v/>
      </c>
      <c r="N14" s="5">
        <f>L14+M14</f>
        <v/>
      </c>
    </row>
    <row r="15" ht="36.45" customHeight="1" thickBot="1">
      <c r="A15" s="5" t="inlineStr">
        <is>
          <t>Sunroom</t>
        </is>
      </c>
      <c r="B15" s="5" t="inlineStr">
        <is>
          <t>Roof corrosion, frame rot and water ingress</t>
        </is>
      </c>
      <c r="C15" s="5" t="inlineStr">
        <is>
          <t>Replace sunroom roof, rotten framing and damaged linings</t>
        </is>
      </c>
      <c r="D15" s="5" t="inlineStr">
        <is>
          <t>Carpenter/Roofer</t>
        </is>
      </c>
      <c r="E15" s="5" t="n">
        <v>3</v>
      </c>
      <c r="F15" s="5" t="n">
        <v>120</v>
      </c>
      <c r="G15" s="5" t="n">
        <v>100</v>
      </c>
      <c r="H15" s="5">
        <f>F15*G15</f>
        <v/>
      </c>
      <c r="I15" s="5" t="n">
        <v>21000</v>
      </c>
      <c r="J15" s="5" t="n">
        <v>3200</v>
      </c>
      <c r="K15" s="5" t="n">
        <v>5200</v>
      </c>
      <c r="L15" s="5">
        <f>H15+I15+J15+K15</f>
        <v/>
      </c>
      <c r="M15" s="5">
        <f>L15*10%</f>
        <v/>
      </c>
      <c r="N15" s="5">
        <f>L15+M15</f>
        <v/>
      </c>
    </row>
    <row r="16" ht="36.45" customHeight="1" thickBot="1">
      <c r="A16" s="5" t="inlineStr">
        <is>
          <t>Bedroom areas</t>
        </is>
      </c>
      <c r="B16" s="5" t="inlineStr">
        <is>
          <t>Ceiling water damage and damp</t>
        </is>
      </c>
      <c r="C16" s="5" t="inlineStr">
        <is>
          <t>Remove damaged linings, treat damp and reinstate ceiling/wall finishes</t>
        </is>
      </c>
      <c r="D16" s="5" t="inlineStr">
        <is>
          <t>Plasterer/Carpenter</t>
        </is>
      </c>
      <c r="E16" s="5" t="n">
        <v>2</v>
      </c>
      <c r="F16" s="5" t="n">
        <v>56</v>
      </c>
      <c r="G16" s="5" t="n">
        <v>90</v>
      </c>
      <c r="H16" s="5">
        <f>F16*G16</f>
        <v/>
      </c>
      <c r="I16" s="5" t="n">
        <v>6800</v>
      </c>
      <c r="J16" s="5" t="n">
        <v>900</v>
      </c>
      <c r="K16" s="5" t="n">
        <v>1900</v>
      </c>
      <c r="L16" s="5">
        <f>H16+I16+J16+K16</f>
        <v/>
      </c>
      <c r="M16" s="5">
        <f>L16*10%</f>
        <v/>
      </c>
      <c r="N16" s="5">
        <f>L16+M16</f>
        <v/>
      </c>
    </row>
    <row r="17" ht="36.45" customHeight="1" thickBot="1">
      <c r="A17" s="5" t="inlineStr">
        <is>
          <t>Laundry</t>
        </is>
      </c>
      <c r="B17" s="5" t="inlineStr">
        <is>
          <t>Roof and wall damage</t>
        </is>
      </c>
      <c r="C17" s="5" t="inlineStr">
        <is>
          <t>Repair framing/linings and make good finishes</t>
        </is>
      </c>
      <c r="D17" s="5" t="inlineStr">
        <is>
          <t>Carpenter/Plasterer</t>
        </is>
      </c>
      <c r="E17" s="5" t="n">
        <v>2</v>
      </c>
      <c r="F17" s="5" t="n">
        <v>48</v>
      </c>
      <c r="G17" s="5" t="n">
        <v>90</v>
      </c>
      <c r="H17" s="5">
        <f>F17*G17</f>
        <v/>
      </c>
      <c r="I17" s="5" t="n">
        <v>5200</v>
      </c>
      <c r="J17" s="5" t="n">
        <v>1000</v>
      </c>
      <c r="K17" s="5" t="n">
        <v>1700</v>
      </c>
      <c r="L17" s="5">
        <f>H17+I17+J17+K17</f>
        <v/>
      </c>
      <c r="M17" s="5">
        <f>L17*10%</f>
        <v/>
      </c>
      <c r="N17" s="5">
        <f>L17+M17</f>
        <v/>
      </c>
    </row>
    <row r="18" ht="36.45" customHeight="1" thickBot="1">
      <c r="A18" s="5" t="inlineStr">
        <is>
          <t>Kitchen</t>
        </is>
      </c>
      <c r="B18" s="5" t="inlineStr">
        <is>
          <t>Warped cupboards, damaged brickwork, no rangehood</t>
        </is>
      </c>
      <c r="C18" s="5" t="inlineStr">
        <is>
          <t>Replace cabinets/doors, repair wall damage and install compliant rangehood</t>
        </is>
      </c>
      <c r="D18" s="5" t="inlineStr">
        <is>
          <t>Carpenter/Cabinetmaker</t>
        </is>
      </c>
      <c r="E18" s="5" t="n">
        <v>2</v>
      </c>
      <c r="F18" s="5" t="n">
        <v>72</v>
      </c>
      <c r="G18" s="5" t="n">
        <v>95</v>
      </c>
      <c r="H18" s="5">
        <f>F18*G18</f>
        <v/>
      </c>
      <c r="I18" s="5" t="n">
        <v>9800</v>
      </c>
      <c r="J18" s="5" t="n">
        <v>1200</v>
      </c>
      <c r="K18" s="5" t="n">
        <v>2600</v>
      </c>
      <c r="L18" s="5">
        <f>H18+I18+J18+K18</f>
        <v/>
      </c>
      <c r="M18" s="5">
        <f>L18*10%</f>
        <v/>
      </c>
      <c r="N18" s="5">
        <f>L18+M18</f>
        <v/>
      </c>
    </row>
    <row r="19" ht="36.45" customHeight="1" thickBot="1">
      <c r="A19" s="5" t="inlineStr">
        <is>
          <t>Hallway cupboard</t>
        </is>
      </c>
      <c r="B19" s="5" t="inlineStr">
        <is>
          <t>Missing floorboards and water damage</t>
        </is>
      </c>
      <c r="C19" s="5" t="inlineStr">
        <is>
          <t>Replace floorboards and treat moisture affected substrate</t>
        </is>
      </c>
      <c r="D19" s="5" t="inlineStr">
        <is>
          <t>Carpenter</t>
        </is>
      </c>
      <c r="E19" s="5" t="n">
        <v>1</v>
      </c>
      <c r="F19" s="5" t="n">
        <v>20</v>
      </c>
      <c r="G19" s="5" t="n">
        <v>85</v>
      </c>
      <c r="H19" s="5">
        <f>F19*G19</f>
        <v/>
      </c>
      <c r="I19" s="5" t="n">
        <v>1800</v>
      </c>
      <c r="J19" s="5" t="n">
        <v>250</v>
      </c>
      <c r="K19" s="5" t="n">
        <v>700</v>
      </c>
      <c r="L19" s="5">
        <f>H19+I19+J19+K19</f>
        <v/>
      </c>
      <c r="M19" s="5">
        <f>L19*10%</f>
        <v/>
      </c>
      <c r="N19" s="5">
        <f>L19+M19</f>
        <v/>
      </c>
    </row>
    <row r="20" ht="36.45" customHeight="1" thickBot="1">
      <c r="A20" s="5" t="inlineStr">
        <is>
          <t>Loungeroom</t>
        </is>
      </c>
      <c r="B20" s="5" t="inlineStr">
        <is>
          <t>Cracked door glass and ceiling water damage</t>
        </is>
      </c>
      <c r="C20" s="5" t="inlineStr">
        <is>
          <t>Replace glazing and repair water-damaged ceiling sections</t>
        </is>
      </c>
      <c r="D20" s="5" t="inlineStr">
        <is>
          <t>Glazier/Plasterer</t>
        </is>
      </c>
      <c r="E20" s="5" t="n">
        <v>2</v>
      </c>
      <c r="F20" s="5" t="n">
        <v>34</v>
      </c>
      <c r="G20" s="5" t="n">
        <v>90</v>
      </c>
      <c r="H20" s="5">
        <f>F20*G20</f>
        <v/>
      </c>
      <c r="I20" s="5" t="n">
        <v>2600</v>
      </c>
      <c r="J20" s="5" t="n">
        <v>500</v>
      </c>
      <c r="K20" s="5" t="n">
        <v>950</v>
      </c>
      <c r="L20" s="5">
        <f>H20+I20+J20+K20</f>
        <v/>
      </c>
      <c r="M20" s="5">
        <f>L20*10%</f>
        <v/>
      </c>
      <c r="N20" s="5">
        <f>L20+M20</f>
        <v/>
      </c>
    </row>
    <row r="21" ht="36.45" customHeight="1" thickBot="1">
      <c r="A21" s="5" t="inlineStr">
        <is>
          <t>Master bedroom</t>
        </is>
      </c>
      <c r="B21" s="5" t="inlineStr">
        <is>
          <t>Rotten carpet, wall and ceiling damage</t>
        </is>
      </c>
      <c r="C21" s="5" t="inlineStr">
        <is>
          <t>Remove damaged carpet, repair substrate and repaint affected surfaces</t>
        </is>
      </c>
      <c r="D21" s="5" t="inlineStr">
        <is>
          <t>Carpet layer/Painter</t>
        </is>
      </c>
      <c r="E21" s="5" t="n">
        <v>2</v>
      </c>
      <c r="F21" s="5" t="n">
        <v>40</v>
      </c>
      <c r="G21" s="5" t="n">
        <v>85</v>
      </c>
      <c r="H21" s="5">
        <f>F21*G21</f>
        <v/>
      </c>
      <c r="I21" s="5" t="n">
        <v>3600</v>
      </c>
      <c r="J21" s="5" t="n">
        <v>300</v>
      </c>
      <c r="K21" s="5" t="n">
        <v>1100</v>
      </c>
      <c r="L21" s="5">
        <f>H21+I21+J21+K21</f>
        <v/>
      </c>
      <c r="M21" s="5">
        <f>L21*10%</f>
        <v/>
      </c>
      <c r="N21" s="5">
        <f>L21+M21</f>
        <v/>
      </c>
    </row>
    <row r="22">
      <c r="A22" s="4" t="inlineStr">
        <is>
          <t>Whole dwelling</t>
        </is>
      </c>
      <c r="B22" s="4" t="inlineStr">
        <is>
          <t>Mould remediation and internal make-good painting</t>
        </is>
      </c>
      <c r="C22" s="4" t="inlineStr">
        <is>
          <t>Mould treatment, prep, seal and repaint affected rooms</t>
        </is>
      </c>
      <c r="D22" s="4" t="inlineStr">
        <is>
          <t>Painter/Remediation crew</t>
        </is>
      </c>
      <c r="E22" s="4" t="n">
        <v>3</v>
      </c>
      <c r="F22" s="4" t="n">
        <v>80</v>
      </c>
      <c r="G22" s="4" t="n">
        <v>80</v>
      </c>
      <c r="H22" s="4">
        <f>F22*G22</f>
        <v/>
      </c>
      <c r="I22" s="4" t="n">
        <v>7200</v>
      </c>
      <c r="J22" s="4" t="n">
        <v>600</v>
      </c>
      <c r="K22" s="4" t="n">
        <v>1800</v>
      </c>
      <c r="L22" s="4">
        <f>H22+I22+J22+K22</f>
        <v/>
      </c>
      <c r="M22" s="4">
        <f>L22*10%</f>
        <v/>
      </c>
      <c r="N22" s="4">
        <f>L22+M22</f>
        <v/>
      </c>
    </row>
    <row r="23">
      <c r="A23" s="4" t="inlineStr">
        <is>
          <t>Services</t>
        </is>
      </c>
      <c r="B23" s="4" t="inlineStr">
        <is>
          <t>Drainage and plumbing defects</t>
        </is>
      </c>
      <c r="C23" s="4" t="inlineStr">
        <is>
          <t>Investigate and rectify drainage/plumbing defects and test system</t>
        </is>
      </c>
      <c r="D23" s="4" t="inlineStr">
        <is>
          <t>Plumber</t>
        </is>
      </c>
      <c r="E23" s="4" t="n">
        <v>2</v>
      </c>
      <c r="F23" s="4" t="n">
        <v>36</v>
      </c>
      <c r="G23" s="4" t="n">
        <v>100</v>
      </c>
      <c r="H23" s="4">
        <f>F23*G23</f>
        <v/>
      </c>
      <c r="I23" s="4" t="n">
        <v>3500</v>
      </c>
      <c r="J23" s="4" t="n">
        <v>900</v>
      </c>
      <c r="K23" s="4" t="n">
        <v>1200</v>
      </c>
      <c r="L23" s="4">
        <f>H23+I23+J23+K23</f>
        <v/>
      </c>
      <c r="M23" s="4">
        <f>L23*10%</f>
        <v/>
      </c>
      <c r="N23" s="4">
        <f>L23+M23</f>
        <v/>
      </c>
    </row>
    <row r="24">
      <c r="A24" s="4" t="inlineStr">
        <is>
          <t>Electrical</t>
        </is>
      </c>
      <c r="B24" s="4" t="inlineStr">
        <is>
          <t>Safety inspection and defect rectification</t>
        </is>
      </c>
      <c r="C24" s="4" t="inlineStr">
        <is>
          <t>Electrical safety audit and rectification of identified defects</t>
        </is>
      </c>
      <c r="D24" s="4" t="inlineStr">
        <is>
          <t>Electrician</t>
        </is>
      </c>
      <c r="E24" s="4" t="n">
        <v>1</v>
      </c>
      <c r="F24" s="4" t="n">
        <v>24</v>
      </c>
      <c r="G24" s="4" t="n">
        <v>110</v>
      </c>
      <c r="H24" s="4">
        <f>F24*G24</f>
        <v/>
      </c>
      <c r="I24" s="4" t="n">
        <v>2100</v>
      </c>
      <c r="J24" s="4" t="n">
        <v>300</v>
      </c>
      <c r="K24" s="4" t="n">
        <v>700</v>
      </c>
      <c r="L24" s="4">
        <f>H24+I24+J24+K24</f>
        <v/>
      </c>
      <c r="M24" s="4">
        <f>L24*10%</f>
        <v/>
      </c>
      <c r="N24" s="4">
        <f>L24+M24</f>
        <v/>
      </c>
    </row>
    <row r="25">
      <c r="A25" s="4" t="inlineStr">
        <is>
          <t>External works</t>
        </is>
      </c>
      <c r="B25" s="4" t="inlineStr">
        <is>
          <t>Post-rectification cleanup and landscaping reinstatement</t>
        </is>
      </c>
      <c r="C25" s="4" t="inlineStr">
        <is>
          <t>Reinstate disturbed external areas after structural repairs</t>
        </is>
      </c>
      <c r="D25" s="4" t="inlineStr">
        <is>
          <t>Landscaper</t>
        </is>
      </c>
      <c r="E25" s="4" t="n">
        <v>2</v>
      </c>
      <c r="F25" s="4" t="n">
        <v>30</v>
      </c>
      <c r="G25" s="4" t="n">
        <v>85</v>
      </c>
      <c r="H25" s="4">
        <f>F25*G25</f>
        <v/>
      </c>
      <c r="I25" s="4" t="n">
        <v>2500</v>
      </c>
      <c r="J25" s="4" t="n">
        <v>600</v>
      </c>
      <c r="K25" s="4" t="n">
        <v>900</v>
      </c>
      <c r="L25" s="4">
        <f>H25+I25+J25+K25</f>
        <v/>
      </c>
      <c r="M25" s="4">
        <f>L25*10%</f>
        <v/>
      </c>
      <c r="N25" s="4">
        <f>L25+M25</f>
        <v/>
      </c>
    </row>
    <row r="26">
      <c r="A26" s="4" t="inlineStr">
        <is>
          <t>Documentation</t>
        </is>
      </c>
      <c r="B26" s="4" t="inlineStr">
        <is>
          <t>Engineering, permits and compliance certification</t>
        </is>
      </c>
      <c r="C26" s="4" t="inlineStr">
        <is>
          <t>Structural engineering input, permit costs and compliance documentation</t>
        </is>
      </c>
      <c r="D26" s="4" t="inlineStr">
        <is>
          <t>Engineer/Building surveyor</t>
        </is>
      </c>
      <c r="E26" s="4" t="n">
        <v>1</v>
      </c>
      <c r="F26" s="4" t="n">
        <v>16</v>
      </c>
      <c r="G26" s="4" t="n">
        <v>140</v>
      </c>
      <c r="H26" s="4">
        <f>F26*G26</f>
        <v/>
      </c>
      <c r="I26" s="4" t="n">
        <v>3500</v>
      </c>
      <c r="J26" s="4" t="n">
        <v>0</v>
      </c>
      <c r="K26" s="4" t="n">
        <v>900</v>
      </c>
      <c r="L26" s="4">
        <f>H26+I26+J26+K26</f>
        <v/>
      </c>
      <c r="M26" s="4">
        <f>L26*10%</f>
        <v/>
      </c>
      <c r="N26" s="4">
        <f>L26+M26</f>
        <v/>
      </c>
    </row>
    <row r="27">
      <c r="A27" s="4" t="inlineStr">
        <is>
          <t>Project contingency</t>
        </is>
      </c>
      <c r="B27" s="4" t="inlineStr">
        <is>
          <t>Latent defects allowance (older dwelling risk)</t>
        </is>
      </c>
      <c r="C27" s="4" t="inlineStr">
        <is>
          <t>Allowance for hidden defects in structure/services discovered during works</t>
        </is>
      </c>
      <c r="D27" s="4" t="inlineStr">
        <is>
          <t>Contingency</t>
        </is>
      </c>
      <c r="E27" s="4" t="n">
        <v>0</v>
      </c>
      <c r="F27" s="4" t="n">
        <v>0</v>
      </c>
      <c r="G27" s="4" t="n">
        <v>0</v>
      </c>
      <c r="H27" s="4">
        <f>F27*G27</f>
        <v/>
      </c>
      <c r="I27" s="4" t="n">
        <v>60000</v>
      </c>
      <c r="J27" s="4" t="n">
        <v>0</v>
      </c>
      <c r="K27" s="4" t="n">
        <v>0</v>
      </c>
      <c r="L27" s="4">
        <f>H27+I27+J27+K27</f>
        <v/>
      </c>
      <c r="M27" s="4">
        <f>L27*10%</f>
        <v/>
      </c>
      <c r="N27" s="4">
        <f>L27+M27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9" t="inlineStr">
        <is>
          <t>Subtotal (ex GST)</t>
        </is>
      </c>
      <c r="M29" s="9" t="n"/>
      <c r="N29" s="9">
        <f>SUM(L4:L27)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9" t="inlineStr">
        <is>
          <t>GST (10%)</t>
        </is>
      </c>
      <c r="M30" s="9" t="n"/>
      <c r="N30" s="9">
        <f>SUM(M4:M27)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9" t="inlineStr">
        <is>
          <t>TOTAL RECTIFICATION COST (incl GST)</t>
        </is>
      </c>
      <c r="M31" s="4" t="n"/>
      <c r="N31" s="9">
        <f>SUM(N4:N27)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</sheetData>
  <pageMargins left="0.25" right="0.25" top="0.75" bottom="0.75" header="0.3" footer="0.3"/>
  <pageSetup orientation="landscape" paperSize="8" horizontalDpi="4294967293" verticalDpi="0"/>
  <headerFooter>
    <oddHeader>&amp;C_x000a_</oddHeader>
    <oddFooter>&amp;C_x000a_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ATAR03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2026-03-06T10:42:40Z</dcterms:modified>
  <cp:lastModifiedBy>ATAR03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0x0101009924C627CD73874BB2BAF16316F0BA90</vt:lpwstr>
  </property>
</Properties>
</file>